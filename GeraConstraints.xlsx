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48A2068F-238D-429B-A706-05235A991F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ROP_CONSTRAINTS" sheetId="1" r:id="rId1"/>
    <sheet name="DROP_DEFAULTS" sheetId="2" r:id="rId2"/>
    <sheet name="DROP_TABLES" sheetId="3" r:id="rId3"/>
    <sheet name="ADD_CONSTRAINTS" sheetId="4" r:id="rId4"/>
    <sheet name="ADD_DEFAUL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D6" i="5"/>
  <c r="E6" i="4"/>
  <c r="D6" i="4"/>
  <c r="B6" i="3"/>
  <c r="G6" i="2"/>
  <c r="F6" i="2"/>
  <c r="E6" i="2"/>
  <c r="D6" i="2"/>
  <c r="C6" i="2"/>
  <c r="C6" i="1"/>
</calcChain>
</file>

<file path=xl/sharedStrings.xml><?xml version="1.0" encoding="utf-8"?>
<sst xmlns="http://schemas.openxmlformats.org/spreadsheetml/2006/main" count="43" uniqueCount="21">
  <si>
    <t>DataBase.Schema</t>
  </si>
  <si>
    <t>dbsk401.dbo</t>
  </si>
  <si>
    <t>TabelaMae</t>
  </si>
  <si>
    <t>TabelaFilha</t>
  </si>
  <si>
    <t>Comando</t>
  </si>
  <si>
    <t>Mae</t>
  </si>
  <si>
    <t>Filha</t>
  </si>
  <si>
    <t>Tabela</t>
  </si>
  <si>
    <t>Coluna</t>
  </si>
  <si>
    <t>PARTE 1</t>
  </si>
  <si>
    <t>PARTE 2</t>
  </si>
  <si>
    <t>PARTE 3</t>
  </si>
  <si>
    <t>PARTE 4</t>
  </si>
  <si>
    <t>FINAL</t>
  </si>
  <si>
    <t>DataInsert</t>
  </si>
  <si>
    <t>PK</t>
  </si>
  <si>
    <t>FK</t>
  </si>
  <si>
    <t>Id</t>
  </si>
  <si>
    <t>Valor</t>
  </si>
  <si>
    <t>Constraint</t>
  </si>
  <si>
    <t>GetDate()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</si>
</sst>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"/>
  <sheetViews>
    <sheetView tabSelected="1" workbookViewId="0">
      <selection activeCell="A2" sqref="A2:A5"/>
    </sheetView>
  </sheetViews>
  <sheetFormatPr defaultRowHeight="15"/>
  <cols>
    <col min="1" max="1" width="16.85546875" bestFit="1" customWidth="1"/>
    <col min="3" max="3" width="255.7109375" bestFit="1" customWidth="1"/>
  </cols>
  <sheetData>
    <row r="2" spans="1:3">
      <c r="A2" t="s">
        <v>0</v>
      </c>
    </row>
    <row r="3" spans="1:3">
      <c r="A3" s="1" t="s">
        <v>1</v>
      </c>
    </row>
    <row r="5" spans="1:3">
      <c r="A5" t="s">
        <v>2</v>
      </c>
      <c r="B5" t="s">
        <v>3</v>
      </c>
      <c r="C5" t="s">
        <v>4</v>
      </c>
    </row>
    <row r="6" spans="1:3">
      <c r="A6" t="s">
        <v>5</v>
      </c>
      <c r="B6" t="s">
        <v>6</v>
      </c>
      <c r="C6" s="2" t="str">
        <f>_xlfn.CONCAT("IF (( SELECT COUNT(*) FROM sys.foreign_keys WHERE object_id = OBJECT_ID(N'FK_",B6,"_",A6,"') AND parent_object_id = OBJECT_ID(N'", $A$3,B6,"') AND referenced_object_id = OBJECT ID(N'",$A$3,A6,"'))=1) BEGIN ALTER TABLE ",$A$3,B6," DROP CONSTRAINT FK_",B6,"_",A6,"; END ","")</f>
        <v xml:space="preserve">IF (( SELECT COUNT(*) FROM sys.foreign_keys WHERE object_id = OBJECT_ID(N'FK_Filha_Mae') AND parent_object_id = OBJECT_ID(N'dbsk401.dboFilha') AND referenced_object_id = OBJECT ID(N'dbsk401.dboMae'))=1) BEGIN ALTER TABLE dbsk401.dboFilha DROP CONSTRAINT FK_Filha_Mae; END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3095-7D65-4EE1-92DF-DC936E47D7FE}">
  <dimension ref="A2:G6"/>
  <sheetViews>
    <sheetView workbookViewId="0">
      <selection sqref="A1:A6"/>
    </sheetView>
  </sheetViews>
  <sheetFormatPr defaultRowHeight="15"/>
  <cols>
    <col min="1" max="1" width="16.85546875" bestFit="1" customWidth="1"/>
    <col min="3" max="3" width="213" bestFit="1" customWidth="1"/>
    <col min="7" max="7" width="9.140625" style="1"/>
  </cols>
  <sheetData>
    <row r="2" spans="1:7">
      <c r="A2" t="s">
        <v>0</v>
      </c>
    </row>
    <row r="3" spans="1:7">
      <c r="A3" s="1" t="s">
        <v>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s="3" t="s">
        <v>13</v>
      </c>
    </row>
    <row r="6" spans="1:7">
      <c r="A6" t="s">
        <v>5</v>
      </c>
      <c r="B6" t="s">
        <v>14</v>
      </c>
      <c r="C6" s="2" t="str">
        <f>_xlfn.CONCAT("DECLARE @table_name AS VARCHAR(100),@column_name AS VARCHAR(100),@default_constraint_name AS VARCHAR(100),@sql AS VARCHAR(max); SET @table_name = N'",$A$3,A6,";","SET @column_name = N'",B6,"';")</f>
        <v>DECLARE @table_name AS VARCHAR(100),@column_name AS VARCHAR(100),@default_constraint_name AS VARCHAR(100),@sql AS VARCHAR(max); SET @table_name = N'dbsk401.dboMae;SET @column_name = N'DataInsert';</v>
      </c>
      <c r="D6" t="str">
        <f>_xlfn.CONCAT("if ((Select COUNT(*) from sys.default_constraints where parent_object_id = OBJECT_ID(@table_name) AND type = 'D' AND parent_column_id = (select column_id from sys.columns where object_id = OBJECT_ID(@table_name) and name = @column_name)) &gt; 0) "," ")</f>
        <v xml:space="preserve">if ((Select COUNT(*) from sys.default_constraints where parent_object_id = OBJECT_ID(@table_name) AND type = 'D' AND parent_column_id = (select column_id from sys.columns where object_id = OBJECT_ID(@table_name) and name = @column_name)) &gt; 0)  </v>
      </c>
      <c r="E6" t="str">
        <f>_xlfn.CONCAT(" begin select @default_constraint_name = name from sys.default_constraints where parent_object_id = OBJECT_ID(@table_name) AND type = 'D' AND  parent_column_id = (select column_id from sys.columns where object_id = OBJECT_ID(@table_name) and ", " ")</f>
        <v xml:space="preserve"> begin select @default_constraint_name = name from sys.default_constraints where parent_object_id = OBJECT_ID(@table_name) AND type = 'D' AND  parent_column_id = (select column_id from sys.columns where object_id = OBJECT_ID(@table_name) and  </v>
      </c>
      <c r="F6" t="str">
        <f>_xlfn.CONCAT("   name = @column_name); SET @sql = N'ALTER TABLE ' + @table_name + ' DROP Constraint ' + @default_constraint_name; exec sp_executesql @sql; end ", "  ")</f>
        <v xml:space="preserve">   name = @column_name); SET @sql = N'ALTER TABLE ' + @table_name + ' DROP Constraint ' + @default_constraint_name; exec sp_executesql @sql; end   </v>
      </c>
      <c r="G6" s="3" t="str">
        <f>_xlfn.CONCAT(C6,D6,E6,F6)</f>
        <v xml:space="preserve">DECLARE @table_name AS VARCHAR(100),@column_name AS VARCHAR(100),@default_constraint_name AS VARCHAR(100),@sql AS VARCHAR(max); SET @table_name = N'dbsk401.dboMae;SET @column_name = N'DataInsert';if ((Select COUNT(*) from sys.default_constraints where parent_object_id = OBJECT_ID(@table_name) AND type = 'D' AND parent_column_id = (select column_id from sys.columns where object_id = OBJECT_ID(@table_name) and name = @column_name)) &gt; 0)   begin select @default_constraint_name = name from sys.default_constraints where parent_object_id = OBJECT_ID(@table_name) AND type = 'D' AND  parent_column_id = (select column_id from sys.columns where object_id = OBJECT_ID(@table_name) and     name = @column_name); SET @sql = N'ALTER TABLE ' + @table_name + ' DROP Constraint ' + @default_constraint_name; exec sp_executesql @sql; end  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CB49-5E31-41E4-8B80-5EDAE3AECC3B}">
  <dimension ref="A2:B6"/>
  <sheetViews>
    <sheetView workbookViewId="0">
      <selection sqref="A1:A6"/>
    </sheetView>
  </sheetViews>
  <sheetFormatPr defaultRowHeight="15"/>
  <sheetData>
    <row r="2" spans="1:2">
      <c r="A2" t="s">
        <v>0</v>
      </c>
    </row>
    <row r="3" spans="1:2">
      <c r="A3" s="1" t="s">
        <v>1</v>
      </c>
    </row>
    <row r="5" spans="1:2">
      <c r="A5" t="s">
        <v>7</v>
      </c>
      <c r="B5" t="s">
        <v>4</v>
      </c>
    </row>
    <row r="6" spans="1:2">
      <c r="A6" t="s">
        <v>5</v>
      </c>
      <c r="B6" t="str">
        <f>_xlfn.CONCAT("IF ((SELECT COUNT(*) FROM INFORMATION_SCHEMA.TABLES WHERE TABLE_TYPE='BASE TABLE' AND TABLE_NAME = '",A6,"' ) = 1 ) BEGIN DROP TABLE ",$A$3,A6,"; END")</f>
        <v>IF ((SELECT COUNT(*) FROM INFORMATION_SCHEMA.TABLES WHERE TABLE_TYPE='BASE TABLE' AND TABLE_NAME = 'Mae' ) = 1 ) BEGIN DROP TABLE dbsk401.dboMae; END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2AE3-3585-4F89-9700-B5879586820A}">
  <dimension ref="A2:E6"/>
  <sheetViews>
    <sheetView workbookViewId="0">
      <selection sqref="A1:A6"/>
    </sheetView>
  </sheetViews>
  <sheetFormatPr defaultRowHeight="15"/>
  <sheetData>
    <row r="2" spans="1:5">
      <c r="A2" t="s">
        <v>0</v>
      </c>
    </row>
    <row r="3" spans="1:5">
      <c r="A3" s="1" t="s">
        <v>1</v>
      </c>
    </row>
    <row r="5" spans="1:5">
      <c r="A5" t="s">
        <v>2</v>
      </c>
      <c r="B5" t="s">
        <v>15</v>
      </c>
      <c r="C5" t="s">
        <v>3</v>
      </c>
      <c r="D5" t="s">
        <v>16</v>
      </c>
      <c r="E5" t="s">
        <v>4</v>
      </c>
    </row>
    <row r="6" spans="1:5">
      <c r="A6" t="s">
        <v>5</v>
      </c>
      <c r="B6" t="s">
        <v>17</v>
      </c>
      <c r="C6" t="s">
        <v>6</v>
      </c>
      <c r="D6" t="str">
        <f>_xlfn.CONCAT(A6,B6)</f>
        <v>MaeId</v>
      </c>
      <c r="E6" t="str">
        <f>_xlfn.CONCAT("IF (( SELECT COUNT(*) FROM sys.foreign_keys WHERE object_id = OBJECT_ID(N'FK_",C6,"_",A6,"') AND parent_object_id = OBJECT_ID(N'",$A$3,C6,"') AND referenced_object_id = OBJECT_ID(N'",$A$3,A6,"') ) = 0) BEGIN ALTER TABLE ",$A$3,C6," WITH CHECK ADD CONSTRAINT FK_",C6,"_",A6," FOREIGN KEY (",D6,") REFERENCES ",$A$3,A6,"(",B6,"); ALTER TABLE ",$A$3,C6," CHECK CONSTRAINT FK_",C6,"_",A6,"; END ELSE BEGIN SELECT 0; END", "")</f>
        <v>IF (( SELECT COUNT(*) FROM sys.foreign_keys WHERE object_id = OBJECT_ID(N'FK_Filha_Mae') AND parent_object_id = OBJECT_ID(N'dbsk401.dboFilha') AND referenced_object_id = OBJECT_ID(N'dbsk401.dboMae') ) = 0) BEGIN ALTER TABLE dbsk401.dboFilha WITH CHECK ADD CONSTRAINT FK_Filha_Mae FOREIGN KEY (MaeId) REFERENCES dbsk401.dboMae(Id); ALTER TABLE dbsk401.dboFilha CHECK CONSTRAINT FK_Filha_Mae; END ELSE BEGIN SELECT 0; END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0D5B-89B9-4A53-A781-8B19551958ED}">
  <dimension ref="A2:E6"/>
  <sheetViews>
    <sheetView workbookViewId="0">
      <selection activeCell="D9" sqref="D9"/>
    </sheetView>
  </sheetViews>
  <sheetFormatPr defaultRowHeight="15"/>
  <cols>
    <col min="3" max="3" width="9.7109375" bestFit="1" customWidth="1"/>
    <col min="4" max="4" width="18.85546875" bestFit="1" customWidth="1"/>
  </cols>
  <sheetData>
    <row r="2" spans="1:5">
      <c r="A2" t="s">
        <v>0</v>
      </c>
    </row>
    <row r="3" spans="1:5">
      <c r="A3" s="1" t="s">
        <v>1</v>
      </c>
    </row>
    <row r="5" spans="1:5">
      <c r="A5" t="s">
        <v>7</v>
      </c>
      <c r="B5" t="s">
        <v>8</v>
      </c>
      <c r="C5" t="s">
        <v>18</v>
      </c>
      <c r="D5" t="s">
        <v>19</v>
      </c>
      <c r="E5" t="s">
        <v>4</v>
      </c>
    </row>
    <row r="6" spans="1:5">
      <c r="A6" t="s">
        <v>5</v>
      </c>
      <c r="B6" t="s">
        <v>14</v>
      </c>
      <c r="C6" t="s">
        <v>20</v>
      </c>
      <c r="D6" t="str">
        <f>_xlfn.CONCAT("DF","_",A6,"_",B6)</f>
        <v>DF_Mae_DataInsert</v>
      </c>
      <c r="E6" t="str">
        <f>_xlfn.CONCAT("ALTER TABLE ",$A$3,A6, "ADD CONSTRAINT [DF_",A6,"_",B6,"] DEFAULT (",C6,") FOR [",B6,"];","")</f>
        <v>ALTER TABLE dbsk401.dboMaeADD CONSTRAINT [DF_Mae_DataInsert] DEFAULT (GetDate()) FOR [DataInsert];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2023-12-29T13:22:23Z</dcterms:created>
  <dcterms:modified xsi:type="dcterms:W3CDTF">2026-06-12T17:18:39Z</dcterms:modified>
  <cp:category/>
  <cp:contentStatus/>
</cp:coreProperties>
</file>